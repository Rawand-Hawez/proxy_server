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/>
  <mc:AlternateContent xmlns:mc="http://schemas.openxmlformats.org/markup-compatibility/2006">
    <mc:Choice Requires="x15">
      <x15ac:absPath xmlns:x15ac="http://schemas.microsoft.com/office/spreadsheetml/2010/11/ac" url="/Users/noorawla/MLI/"/>
    </mc:Choice>
  </mc:AlternateContent>
  <xr:revisionPtr revIDLastSave="0" documentId="13_ncr:1_{3CD1E09A-4308-9C48-A435-040DEA31F522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Programs" sheetId="1" r:id="rId1"/>
    <sheet name="Participants" sheetId="2" r:id="rId2"/>
    <sheet name="Finan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</calcChain>
</file>

<file path=xl/sharedStrings.xml><?xml version="1.0" encoding="utf-8"?>
<sst xmlns="http://schemas.openxmlformats.org/spreadsheetml/2006/main" count="166" uniqueCount="88">
  <si>
    <t>Program</t>
  </si>
  <si>
    <t>Number of Participants</t>
  </si>
  <si>
    <t>Male</t>
  </si>
  <si>
    <t>Female</t>
  </si>
  <si>
    <t>Trainers</t>
  </si>
  <si>
    <t>Local Trainer</t>
  </si>
  <si>
    <t>Expat Trainer</t>
  </si>
  <si>
    <t>Duration / Days</t>
  </si>
  <si>
    <t>Estimated price per Participant</t>
  </si>
  <si>
    <t>KLP</t>
  </si>
  <si>
    <t>Sales Course</t>
  </si>
  <si>
    <t>Advance Excel Course</t>
  </si>
  <si>
    <t>Marketing</t>
  </si>
  <si>
    <t>TBC</t>
  </si>
  <si>
    <t>Social Media Managemnt</t>
  </si>
  <si>
    <t>Leadership</t>
  </si>
  <si>
    <t>Kurdistan Coders Program</t>
  </si>
  <si>
    <t>Full Name - First Name</t>
  </si>
  <si>
    <t>Full Name - Last Name</t>
  </si>
  <si>
    <t>Gender</t>
  </si>
  <si>
    <t>Email</t>
  </si>
  <si>
    <t>Phone Number</t>
  </si>
  <si>
    <t>City</t>
  </si>
  <si>
    <t>Highest Degree</t>
  </si>
  <si>
    <t>Degree Field</t>
  </si>
  <si>
    <t>Profession / Position</t>
  </si>
  <si>
    <t>Name of Company</t>
  </si>
  <si>
    <t>Years of Experience</t>
  </si>
  <si>
    <t>Yunus</t>
  </si>
  <si>
    <t>Zeyid</t>
  </si>
  <si>
    <t>younis.zaedzaed@gmail.com</t>
  </si>
  <si>
    <t>(750) 744-1484</t>
  </si>
  <si>
    <t>Erbil</t>
  </si>
  <si>
    <t>Bachelor Degree</t>
  </si>
  <si>
    <t>Chemistry Science</t>
  </si>
  <si>
    <t>Sales &amp; Marketing Supervisor</t>
  </si>
  <si>
    <t>Gulanpark Realestate</t>
  </si>
  <si>
    <t>1 Year</t>
  </si>
  <si>
    <t>Madyan</t>
  </si>
  <si>
    <t>Rashan</t>
  </si>
  <si>
    <t>madyan.maher@gmail.com</t>
  </si>
  <si>
    <t>(770) 331-5409</t>
  </si>
  <si>
    <t>Doctorate</t>
  </si>
  <si>
    <t>Architecture</t>
  </si>
  <si>
    <t>Ceo</t>
  </si>
  <si>
    <t>Remal Al-Hadharah</t>
  </si>
  <si>
    <t>Varya</t>
  </si>
  <si>
    <t>kamil</t>
  </si>
  <si>
    <t>varyakamil@gmail.com</t>
  </si>
  <si>
    <t>(750) 765-6516</t>
  </si>
  <si>
    <t>bachelor's degree</t>
  </si>
  <si>
    <t>Business administration</t>
  </si>
  <si>
    <t>sales and marketing specialist</t>
  </si>
  <si>
    <t>Megaton ark</t>
  </si>
  <si>
    <t xml:space="preserve">Lawand </t>
  </si>
  <si>
    <t>Ghazi</t>
  </si>
  <si>
    <t> </t>
  </si>
  <si>
    <t>Sales specialist</t>
  </si>
  <si>
    <t>Green Wheat</t>
  </si>
  <si>
    <t xml:space="preserve">Zana </t>
  </si>
  <si>
    <t>Hamasaeed Ahmed</t>
  </si>
  <si>
    <t>Slemani</t>
  </si>
  <si>
    <t>Not Working</t>
  </si>
  <si>
    <t>Suzan Sirwan</t>
  </si>
  <si>
    <t>Faslink</t>
  </si>
  <si>
    <t>Ahmed Sardar</t>
  </si>
  <si>
    <t>Omar Farhad</t>
  </si>
  <si>
    <t>Ramyar Yassin</t>
  </si>
  <si>
    <t>Barez</t>
  </si>
  <si>
    <t>Rasool</t>
  </si>
  <si>
    <t>Barez.ramadhan@gmail.com</t>
  </si>
  <si>
    <t>(751) 404-1364</t>
  </si>
  <si>
    <t>Bachelor</t>
  </si>
  <si>
    <t>Geology</t>
  </si>
  <si>
    <t>Sales Manager</t>
  </si>
  <si>
    <t>iBazzar LTD</t>
  </si>
  <si>
    <t>3 years</t>
  </si>
  <si>
    <t>Zhin</t>
  </si>
  <si>
    <t>Rasuld</t>
  </si>
  <si>
    <t>Total Income</t>
  </si>
  <si>
    <t>Advanc Excel Course</t>
  </si>
  <si>
    <t>YTD Revenue</t>
  </si>
  <si>
    <t>YTD Non-Monetary Revenue</t>
  </si>
  <si>
    <t>YTD Grand Total</t>
  </si>
  <si>
    <t>Total Revenue</t>
  </si>
  <si>
    <t>Status</t>
  </si>
  <si>
    <t>Completed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</si>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</sst>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00FF"/>
      </patternFill>
    </fill>
    <fill>
      <patternFill patternType="solid">
        <fgColor rgb="FFFFFFFF"/>
        <bgColor rgb="FFFF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/>
    <xf numFmtId="0" fontId="3" fillId="2" borderId="6" xfId="0" applyFont="1" applyFill="1" applyBorder="1"/>
    <xf numFmtId="0" fontId="4" fillId="2" borderId="6" xfId="0" applyFont="1" applyFill="1" applyBorder="1"/>
    <xf numFmtId="0" fontId="3" fillId="4" borderId="6" xfId="0" applyFont="1" applyFill="1" applyBorder="1"/>
    <xf numFmtId="0" fontId="1" fillId="0" borderId="5" xfId="0" applyFont="1" applyBorder="1"/>
    <xf numFmtId="0" fontId="2" fillId="0" borderId="5" xfId="0" applyFont="1" applyBorder="1"/>
    <xf numFmtId="0" fontId="1" fillId="0" borderId="7" xfId="0" applyFont="1" applyBorder="1"/>
    <xf numFmtId="164" fontId="2" fillId="0" borderId="7" xfId="0" applyNumberFormat="1" applyFont="1" applyBorder="1"/>
    <xf numFmtId="0" fontId="3" fillId="3" borderId="8" xfId="0" applyFont="1" applyFill="1" applyBorder="1"/>
    <xf numFmtId="0" fontId="4" fillId="2" borderId="8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4" fillId="2" borderId="9" xfId="0" applyFont="1" applyFill="1" applyBorder="1"/>
    <xf numFmtId="0" fontId="3" fillId="3" borderId="9" xfId="0" applyFont="1" applyFill="1" applyBorder="1"/>
    <xf numFmtId="0" fontId="4" fillId="2" borderId="0" xfId="0" applyFont="1" applyFill="1"/>
    <xf numFmtId="0" fontId="5" fillId="0" borderId="4" xfId="0" applyFont="1" applyBorder="1"/>
    <xf numFmtId="0" fontId="6" fillId="0" borderId="4" xfId="0" applyFont="1" applyBorder="1"/>
    <xf numFmtId="164" fontId="6" fillId="0" borderId="10" xfId="0" applyNumberFormat="1" applyFont="1" applyBorder="1"/>
    <xf numFmtId="164" fontId="5" fillId="0" borderId="10" xfId="0" applyNumberFormat="1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4" xfId="0" applyNumberFormat="1" applyFont="1" applyBorder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numFmt numFmtId="164" formatCode="_-[$$-409]* #,##0.00_ ;_-[$$-409]* \-#,##0.00\ ;_-[$$-409]* &quot;-&quot;??_ ;_-@_ 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00FF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00FF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FFFFFF"/>
        </patternFill>
      </fill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_-[$$-409]* #,##0.00_ ;_-[$$-409]* \-#,##0.00\ ;_-[$$-409]* &quot;-&quot;??_ ;_-@_ 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BEFC0-6384-1541-9DEC-5C79357AADCB}" name="Programs" displayName="Programs" ref="A1:K8" totalsRowShown="0" headerRowDxfId="32" tableBorderDxfId="31">
  <autoFilter ref="A1:K8" xr:uid="{0DFBEFC0-6384-1541-9DEC-5C79357AADCB}"/>
  <tableColumns count="11">
    <tableColumn id="1" xr3:uid="{F83AC85C-2221-D941-81B0-AABE98B9E91A}" name="Program" dataDxfId="30"/>
    <tableColumn id="2" xr3:uid="{CA438318-DE02-7D46-9D27-3C1BA44D59A8}" name="Number of Participants" dataDxfId="29"/>
    <tableColumn id="3" xr3:uid="{AC023503-E00E-6745-864F-4737F560190B}" name="Male" dataDxfId="28"/>
    <tableColumn id="4" xr3:uid="{75D8E0D4-2F92-F34E-8248-AFA85EA89D55}" name="Female" dataDxfId="27"/>
    <tableColumn id="5" xr3:uid="{23C0444A-5051-BC48-901A-0747F5591F12}" name="Trainers" dataDxfId="26"/>
    <tableColumn id="6" xr3:uid="{95DD5861-C875-2748-AF2F-B36B02A69A38}" name="Local Trainer" dataDxfId="25"/>
    <tableColumn id="7" xr3:uid="{CB90B6B7-539B-6945-AAA8-34452AA908B7}" name="Expat Trainer" dataDxfId="24"/>
    <tableColumn id="8" xr3:uid="{34EBDA2B-0DF0-9C43-8C5D-75865229523A}" name="Duration / Days" dataDxfId="23"/>
    <tableColumn id="9" xr3:uid="{170A73C9-CC01-4642-B797-70B662C44E57}" name="Estimated price per Participant" dataDxfId="22"/>
    <tableColumn id="10" xr3:uid="{810D833F-FCC4-284F-95F7-D48C71275E3A}" name="Total Revenue" dataDxfId="21">
      <calculatedColumnFormula>IFERROR(Programs[[#This Row],[Estimated price per Participant]]*Programs[[#This Row],[Number of Participants]],"TBC")</calculatedColumnFormula>
    </tableColumn>
    <tableColumn id="11" xr3:uid="{1BFE6B94-0B0F-FE4F-B9C4-F22D6BC1D16C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90961-8F3D-E344-A1DE-04F691548585}" name="Table2" displayName="Table2" ref="A1:K12" totalsRowShown="0" headerRowDxfId="20" dataDxfId="18" headerRowBorderDxfId="19" tableBorderDxfId="17">
  <autoFilter ref="A1:K12" xr:uid="{83C90961-8F3D-E344-A1DE-04F691548585}"/>
  <tableColumns count="11">
    <tableColumn id="1" xr3:uid="{8B61EDF9-6137-AE4F-9916-1B1E8716190C}" name="Full Name - First Name" dataDxfId="16"/>
    <tableColumn id="2" xr3:uid="{2F4856C4-C8E7-9749-B019-E0FE60A92103}" name="Full Name - Last Name" dataDxfId="15"/>
    <tableColumn id="3" xr3:uid="{FD3D25B7-F16E-1C44-8A23-8E3BA45AA51B}" name="Gender" dataDxfId="14"/>
    <tableColumn id="4" xr3:uid="{0C28A0E9-F772-EB40-A275-294382C0828A}" name="Email" dataDxfId="13"/>
    <tableColumn id="5" xr3:uid="{6CE815D8-50A2-8343-BDED-619F9C7FCCC5}" name="Phone Number" dataDxfId="12"/>
    <tableColumn id="6" xr3:uid="{A61A9268-2F64-6943-BF71-94C2B2C0FA45}" name="City" dataDxfId="11"/>
    <tableColumn id="7" xr3:uid="{D73B94FF-9479-094C-8962-EECCB57D822E}" name="Highest Degree" dataDxfId="10"/>
    <tableColumn id="8" xr3:uid="{7E3CB95A-A15D-D049-986D-F8B245355B7A}" name="Degree Field" dataDxfId="9"/>
    <tableColumn id="9" xr3:uid="{B3877D83-3199-3642-B84A-C6605FD38F35}" name="Profession / Position" dataDxfId="8"/>
    <tableColumn id="10" xr3:uid="{3DA0E2F6-B005-B541-9356-341EC459FAC6}" name="Name of Company" dataDxfId="7"/>
    <tableColumn id="11" xr3:uid="{EB4880D6-5CEE-4949-BADF-EEA0550920C1}" name="Years of Experienc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A2212F-0481-2243-9288-388AD5264DC8}" name="Table3" displayName="Table3" ref="A1:B7" totalsRowShown="0" headerRowDxfId="5" headerRowBorderDxfId="4" tableBorderDxfId="3" totalsRowBorderDxfId="2">
  <autoFilter ref="A1:B7" xr:uid="{5CA2212F-0481-2243-9288-388AD5264DC8}"/>
  <tableColumns count="2">
    <tableColumn id="1" xr3:uid="{BF2B5561-2A17-0649-8092-DA992477C6E0}" name="Program" dataDxfId="1"/>
    <tableColumn id="2" xr3:uid="{A6BB4598-FB2E-274A-AE4D-18FC62F29B9C}" name="Total Inco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K8" sqref="K8"/>
    </sheetView>
  </sheetViews>
  <sheetFormatPr baseColWidth="10" defaultColWidth="14" defaultRowHeight="15" x14ac:dyDescent="0.2"/>
  <cols>
    <col min="1" max="1" width="26.1640625" customWidth="1"/>
    <col min="2" max="2" width="22.5" customWidth="1"/>
    <col min="7" max="7" width="14.5" customWidth="1"/>
    <col min="8" max="8" width="16.6640625" customWidth="1"/>
    <col min="9" max="9" width="34.1640625" customWidth="1"/>
  </cols>
  <sheetData>
    <row r="1" spans="1:11" ht="16" x14ac:dyDescent="0.2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3" t="s">
        <v>8</v>
      </c>
      <c r="J1" s="31" t="s">
        <v>84</v>
      </c>
      <c r="K1" s="31" t="s">
        <v>85</v>
      </c>
    </row>
    <row r="2" spans="1:11" ht="16" x14ac:dyDescent="0.2">
      <c r="A2" s="12" t="s">
        <v>9</v>
      </c>
      <c r="B2" s="4">
        <v>15</v>
      </c>
      <c r="C2" s="4">
        <v>9</v>
      </c>
      <c r="D2" s="4">
        <v>6</v>
      </c>
      <c r="E2" s="4">
        <v>6</v>
      </c>
      <c r="F2" s="4">
        <v>3</v>
      </c>
      <c r="G2" s="5">
        <v>3</v>
      </c>
      <c r="H2" s="6">
        <v>80</v>
      </c>
      <c r="I2" s="14">
        <v>0</v>
      </c>
      <c r="J2" s="30">
        <f>IFERROR(Programs[[#This Row],[Estimated price per Participant]]*Programs[[#This Row],[Number of Participants]],"TBC")</f>
        <v>0</v>
      </c>
      <c r="K2" t="s">
        <v>86</v>
      </c>
    </row>
    <row r="3" spans="1:11" ht="16" x14ac:dyDescent="0.2">
      <c r="A3" s="12" t="s">
        <v>10</v>
      </c>
      <c r="B3" s="4">
        <v>11</v>
      </c>
      <c r="C3" s="4">
        <v>9</v>
      </c>
      <c r="D3" s="4">
        <v>3</v>
      </c>
      <c r="E3" s="4">
        <v>1</v>
      </c>
      <c r="F3" s="4">
        <v>1</v>
      </c>
      <c r="G3" s="5">
        <v>0</v>
      </c>
      <c r="H3" s="6">
        <v>10</v>
      </c>
      <c r="I3" s="14">
        <v>286</v>
      </c>
      <c r="J3" s="30">
        <f>IFERROR(Programs[[#This Row],[Estimated price per Participant]]*Programs[[#This Row],[Number of Participants]],"TBC")</f>
        <v>3146</v>
      </c>
      <c r="K3" t="s">
        <v>86</v>
      </c>
    </row>
    <row r="4" spans="1:11" ht="16" x14ac:dyDescent="0.2">
      <c r="A4" s="12" t="s">
        <v>11</v>
      </c>
      <c r="B4" s="4">
        <v>17</v>
      </c>
      <c r="C4" s="4">
        <v>9</v>
      </c>
      <c r="D4" s="4">
        <v>7</v>
      </c>
      <c r="E4" s="4">
        <v>1</v>
      </c>
      <c r="F4" s="4">
        <v>1</v>
      </c>
      <c r="G4" s="5">
        <v>0</v>
      </c>
      <c r="H4" s="6">
        <v>2</v>
      </c>
      <c r="I4" s="14">
        <v>185</v>
      </c>
      <c r="J4" s="30">
        <f>IFERROR(Programs[[#This Row],[Estimated price per Participant]]*Programs[[#This Row],[Number of Participants]],"TBC")</f>
        <v>3145</v>
      </c>
      <c r="K4" t="s">
        <v>86</v>
      </c>
    </row>
    <row r="5" spans="1:11" ht="16" x14ac:dyDescent="0.2">
      <c r="A5" s="12" t="s">
        <v>12</v>
      </c>
      <c r="B5" s="4" t="s">
        <v>13</v>
      </c>
      <c r="C5" s="4"/>
      <c r="D5" s="4"/>
      <c r="E5" s="4"/>
      <c r="F5" s="4"/>
      <c r="G5" s="5"/>
      <c r="H5" s="6"/>
      <c r="I5" s="14">
        <v>450</v>
      </c>
      <c r="J5" s="30" t="str">
        <f>IFERROR(Programs[[#This Row],[Estimated price per Participant]]*Programs[[#This Row],[Number of Participants]],"TBC")</f>
        <v>TBC</v>
      </c>
      <c r="K5" t="s">
        <v>87</v>
      </c>
    </row>
    <row r="6" spans="1:11" ht="16" x14ac:dyDescent="0.2">
      <c r="A6" s="12" t="s">
        <v>14</v>
      </c>
      <c r="B6" s="4" t="s">
        <v>13</v>
      </c>
      <c r="C6" s="4"/>
      <c r="D6" s="4"/>
      <c r="E6" s="4"/>
      <c r="F6" s="4"/>
      <c r="G6" s="5"/>
      <c r="H6" s="6"/>
      <c r="I6" s="14">
        <v>100</v>
      </c>
      <c r="J6" s="30" t="str">
        <f>IFERROR(Programs[[#This Row],[Estimated price per Participant]]*Programs[[#This Row],[Number of Participants]],"TBC")</f>
        <v>TBC</v>
      </c>
      <c r="K6" t="s">
        <v>87</v>
      </c>
    </row>
    <row r="7" spans="1:11" ht="16" x14ac:dyDescent="0.2">
      <c r="A7" s="12" t="s">
        <v>15</v>
      </c>
      <c r="B7" s="4" t="s">
        <v>13</v>
      </c>
      <c r="C7" s="4"/>
      <c r="D7" s="4"/>
      <c r="E7" s="4"/>
      <c r="F7" s="4"/>
      <c r="G7" s="5"/>
      <c r="H7" s="6"/>
      <c r="I7" s="14">
        <v>150</v>
      </c>
      <c r="J7" s="30" t="str">
        <f>IFERROR(Programs[[#This Row],[Estimated price per Participant]]*Programs[[#This Row],[Number of Participants]],"TBC")</f>
        <v>TBC</v>
      </c>
      <c r="K7" t="s">
        <v>87</v>
      </c>
    </row>
    <row r="8" spans="1:11" ht="16" x14ac:dyDescent="0.2">
      <c r="A8" s="12" t="s">
        <v>16</v>
      </c>
      <c r="B8" s="4" t="s">
        <v>13</v>
      </c>
      <c r="C8" s="4"/>
      <c r="D8" s="4"/>
      <c r="E8" s="4"/>
      <c r="F8" s="4"/>
      <c r="G8" s="5"/>
      <c r="H8" s="6"/>
      <c r="I8" s="14">
        <v>0</v>
      </c>
      <c r="J8" s="30" t="str">
        <f>IFERROR(Programs[[#This Row],[Estimated price per Participant]]*Programs[[#This Row],[Number of Participants]],"TBC")</f>
        <v>TBC</v>
      </c>
      <c r="K8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A4EE-206A-4F2A-B8DD-ED3E9BB97944}">
  <dimension ref="A1:K12"/>
  <sheetViews>
    <sheetView workbookViewId="0">
      <selection sqref="A1:K12"/>
    </sheetView>
  </sheetViews>
  <sheetFormatPr baseColWidth="10" defaultColWidth="8.83203125" defaultRowHeight="15" x14ac:dyDescent="0.2"/>
  <cols>
    <col min="1" max="2" width="24.5" customWidth="1"/>
    <col min="3" max="3" width="9.5" customWidth="1"/>
    <col min="4" max="4" width="20.33203125" customWidth="1"/>
    <col min="5" max="5" width="17.33203125" customWidth="1"/>
    <col min="7" max="7" width="26.1640625" customWidth="1"/>
    <col min="8" max="8" width="19" customWidth="1"/>
    <col min="9" max="9" width="37.5" customWidth="1"/>
    <col min="10" max="10" width="34.6640625" customWidth="1"/>
    <col min="11" max="11" width="20.1640625" customWidth="1"/>
  </cols>
  <sheetData>
    <row r="1" spans="1:11" x14ac:dyDescent="0.2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17" t="s">
        <v>27</v>
      </c>
    </row>
    <row r="2" spans="1:11" x14ac:dyDescent="0.2">
      <c r="A2" s="7" t="s">
        <v>28</v>
      </c>
      <c r="B2" s="7" t="s">
        <v>29</v>
      </c>
      <c r="C2" s="7" t="s">
        <v>2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  <c r="K2" s="15" t="s">
        <v>37</v>
      </c>
    </row>
    <row r="3" spans="1:11" x14ac:dyDescent="0.2">
      <c r="A3" s="7" t="s">
        <v>38</v>
      </c>
      <c r="B3" s="7" t="s">
        <v>39</v>
      </c>
      <c r="C3" s="7" t="s">
        <v>2</v>
      </c>
      <c r="D3" s="7" t="s">
        <v>40</v>
      </c>
      <c r="E3" s="7" t="s">
        <v>41</v>
      </c>
      <c r="F3" s="7" t="s">
        <v>32</v>
      </c>
      <c r="G3" s="7" t="s">
        <v>42</v>
      </c>
      <c r="H3" s="7" t="s">
        <v>43</v>
      </c>
      <c r="I3" s="7" t="s">
        <v>44</v>
      </c>
      <c r="J3" s="7" t="s">
        <v>45</v>
      </c>
      <c r="K3" s="15">
        <v>12</v>
      </c>
    </row>
    <row r="4" spans="1:11" x14ac:dyDescent="0.2">
      <c r="A4" s="7" t="s">
        <v>46</v>
      </c>
      <c r="B4" s="7" t="s">
        <v>47</v>
      </c>
      <c r="C4" s="7" t="s">
        <v>3</v>
      </c>
      <c r="D4" s="7" t="s">
        <v>48</v>
      </c>
      <c r="E4" s="7" t="s">
        <v>49</v>
      </c>
      <c r="F4" s="7" t="s">
        <v>32</v>
      </c>
      <c r="G4" s="7" t="s">
        <v>50</v>
      </c>
      <c r="H4" s="7" t="s">
        <v>51</v>
      </c>
      <c r="I4" s="7" t="s">
        <v>52</v>
      </c>
      <c r="J4" s="7" t="s">
        <v>53</v>
      </c>
      <c r="K4" s="15">
        <v>1</v>
      </c>
    </row>
    <row r="5" spans="1:11" x14ac:dyDescent="0.2">
      <c r="A5" s="8" t="s">
        <v>54</v>
      </c>
      <c r="B5" s="8" t="s">
        <v>55</v>
      </c>
      <c r="C5" s="7" t="s">
        <v>2</v>
      </c>
      <c r="D5" s="9" t="s">
        <v>56</v>
      </c>
      <c r="E5" s="9" t="s">
        <v>56</v>
      </c>
      <c r="F5" s="7" t="s">
        <v>32</v>
      </c>
      <c r="G5" s="9" t="s">
        <v>56</v>
      </c>
      <c r="H5" s="9" t="s">
        <v>56</v>
      </c>
      <c r="I5" s="8" t="s">
        <v>57</v>
      </c>
      <c r="J5" s="10" t="s">
        <v>58</v>
      </c>
      <c r="K5" s="16" t="s">
        <v>56</v>
      </c>
    </row>
    <row r="6" spans="1:11" x14ac:dyDescent="0.2">
      <c r="A6" s="8" t="s">
        <v>59</v>
      </c>
      <c r="B6" s="8" t="s">
        <v>60</v>
      </c>
      <c r="C6" s="7" t="s">
        <v>2</v>
      </c>
      <c r="D6" s="9" t="s">
        <v>56</v>
      </c>
      <c r="E6" s="8">
        <v>7708152916</v>
      </c>
      <c r="F6" s="7" t="s">
        <v>61</v>
      </c>
      <c r="G6" s="9" t="s">
        <v>56</v>
      </c>
      <c r="H6" s="9" t="s">
        <v>56</v>
      </c>
      <c r="I6" s="9" t="s">
        <v>56</v>
      </c>
      <c r="J6" s="8" t="s">
        <v>62</v>
      </c>
      <c r="K6" s="16" t="s">
        <v>56</v>
      </c>
    </row>
    <row r="7" spans="1:11" x14ac:dyDescent="0.2">
      <c r="A7" s="8" t="s">
        <v>63</v>
      </c>
      <c r="B7" s="9" t="s">
        <v>56</v>
      </c>
      <c r="C7" s="7" t="s">
        <v>3</v>
      </c>
      <c r="D7" s="9" t="s">
        <v>56</v>
      </c>
      <c r="E7" s="9" t="s">
        <v>56</v>
      </c>
      <c r="F7" s="7" t="s">
        <v>32</v>
      </c>
      <c r="G7" s="9" t="s">
        <v>56</v>
      </c>
      <c r="H7" s="9" t="s">
        <v>56</v>
      </c>
      <c r="I7" s="9" t="s">
        <v>56</v>
      </c>
      <c r="J7" s="8" t="s">
        <v>64</v>
      </c>
      <c r="K7" s="16" t="s">
        <v>56</v>
      </c>
    </row>
    <row r="8" spans="1:11" x14ac:dyDescent="0.2">
      <c r="A8" s="8" t="s">
        <v>65</v>
      </c>
      <c r="B8" s="9" t="s">
        <v>56</v>
      </c>
      <c r="C8" s="7" t="s">
        <v>2</v>
      </c>
      <c r="D8" s="9" t="s">
        <v>56</v>
      </c>
      <c r="E8" s="9" t="s">
        <v>56</v>
      </c>
      <c r="F8" s="7" t="s">
        <v>32</v>
      </c>
      <c r="G8" s="9" t="s">
        <v>56</v>
      </c>
      <c r="H8" s="9" t="s">
        <v>56</v>
      </c>
      <c r="I8" s="9" t="s">
        <v>56</v>
      </c>
      <c r="J8" s="8" t="s">
        <v>64</v>
      </c>
      <c r="K8" s="16" t="s">
        <v>56</v>
      </c>
    </row>
    <row r="9" spans="1:11" x14ac:dyDescent="0.2">
      <c r="A9" s="8" t="s">
        <v>66</v>
      </c>
      <c r="B9" s="9" t="s">
        <v>56</v>
      </c>
      <c r="C9" s="7" t="s">
        <v>2</v>
      </c>
      <c r="D9" s="9" t="s">
        <v>56</v>
      </c>
      <c r="E9" s="9" t="s">
        <v>56</v>
      </c>
      <c r="F9" s="7" t="s">
        <v>32</v>
      </c>
      <c r="G9" s="9" t="s">
        <v>56</v>
      </c>
      <c r="H9" s="9" t="s">
        <v>56</v>
      </c>
      <c r="I9" s="9" t="s">
        <v>56</v>
      </c>
      <c r="J9" s="8" t="s">
        <v>64</v>
      </c>
      <c r="K9" s="16" t="s">
        <v>56</v>
      </c>
    </row>
    <row r="10" spans="1:11" x14ac:dyDescent="0.2">
      <c r="A10" s="8" t="s">
        <v>67</v>
      </c>
      <c r="B10" s="9" t="s">
        <v>56</v>
      </c>
      <c r="C10" s="7" t="s">
        <v>2</v>
      </c>
      <c r="D10" s="9" t="s">
        <v>56</v>
      </c>
      <c r="E10" s="9" t="s">
        <v>56</v>
      </c>
      <c r="F10" s="7" t="s">
        <v>32</v>
      </c>
      <c r="G10" s="9" t="s">
        <v>56</v>
      </c>
      <c r="H10" s="9" t="s">
        <v>56</v>
      </c>
      <c r="I10" s="9" t="s">
        <v>56</v>
      </c>
      <c r="J10" s="8" t="s">
        <v>64</v>
      </c>
      <c r="K10" s="16" t="s">
        <v>56</v>
      </c>
    </row>
    <row r="11" spans="1:11" x14ac:dyDescent="0.2">
      <c r="A11" s="7" t="s">
        <v>68</v>
      </c>
      <c r="B11" s="7" t="s">
        <v>69</v>
      </c>
      <c r="C11" s="7" t="s">
        <v>2</v>
      </c>
      <c r="D11" s="7" t="s">
        <v>70</v>
      </c>
      <c r="E11" s="7" t="s">
        <v>71</v>
      </c>
      <c r="F11" s="7" t="s">
        <v>32</v>
      </c>
      <c r="G11" s="7" t="s">
        <v>72</v>
      </c>
      <c r="H11" s="7" t="s">
        <v>73</v>
      </c>
      <c r="I11" s="7" t="s">
        <v>74</v>
      </c>
      <c r="J11" s="7" t="s">
        <v>75</v>
      </c>
      <c r="K11" s="15" t="s">
        <v>76</v>
      </c>
    </row>
    <row r="12" spans="1:11" x14ac:dyDescent="0.2">
      <c r="A12" s="18" t="s">
        <v>77</v>
      </c>
      <c r="B12" s="18" t="s">
        <v>78</v>
      </c>
      <c r="C12" s="18" t="s">
        <v>3</v>
      </c>
      <c r="D12" s="19" t="s">
        <v>56</v>
      </c>
      <c r="E12" s="19" t="s">
        <v>56</v>
      </c>
      <c r="F12" s="19" t="s">
        <v>56</v>
      </c>
      <c r="G12" s="19" t="s">
        <v>56</v>
      </c>
      <c r="H12" s="19" t="s">
        <v>56</v>
      </c>
      <c r="I12" s="18" t="s">
        <v>57</v>
      </c>
      <c r="J12" s="20" t="s">
        <v>75</v>
      </c>
      <c r="K12" s="21" t="s">
        <v>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EE51-ABD5-46E1-B78A-CE989F5BD3B5}">
  <dimension ref="A1:B7"/>
  <sheetViews>
    <sheetView workbookViewId="0">
      <selection sqref="A1:B7"/>
    </sheetView>
  </sheetViews>
  <sheetFormatPr baseColWidth="10" defaultColWidth="8.83203125" defaultRowHeight="15" x14ac:dyDescent="0.2"/>
  <cols>
    <col min="1" max="1" width="24.5" customWidth="1"/>
    <col min="2" max="2" width="26.1640625" customWidth="1"/>
  </cols>
  <sheetData>
    <row r="1" spans="1:2" ht="16" x14ac:dyDescent="0.2">
      <c r="A1" s="26" t="s">
        <v>0</v>
      </c>
      <c r="B1" s="27" t="s">
        <v>79</v>
      </c>
    </row>
    <row r="2" spans="1:2" ht="16" x14ac:dyDescent="0.2">
      <c r="A2" s="23" t="s">
        <v>9</v>
      </c>
      <c r="B2" s="24">
        <v>0</v>
      </c>
    </row>
    <row r="3" spans="1:2" ht="16" x14ac:dyDescent="0.2">
      <c r="A3" s="23" t="s">
        <v>10</v>
      </c>
      <c r="B3" s="24">
        <v>3150</v>
      </c>
    </row>
    <row r="4" spans="1:2" ht="16" x14ac:dyDescent="0.2">
      <c r="A4" s="23" t="s">
        <v>80</v>
      </c>
      <c r="B4" s="24">
        <v>3663</v>
      </c>
    </row>
    <row r="5" spans="1:2" ht="16" x14ac:dyDescent="0.2">
      <c r="A5" s="22" t="s">
        <v>81</v>
      </c>
      <c r="B5" s="25">
        <v>6813</v>
      </c>
    </row>
    <row r="6" spans="1:2" ht="16" x14ac:dyDescent="0.2">
      <c r="A6" s="22" t="s">
        <v>82</v>
      </c>
      <c r="B6" s="25">
        <v>90000</v>
      </c>
    </row>
    <row r="7" spans="1:2" ht="16" x14ac:dyDescent="0.2">
      <c r="A7" s="28" t="s">
        <v>83</v>
      </c>
      <c r="B7" s="29">
        <v>96813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Programs</vt:lpstr>
      <vt:lpstr>Participants</vt:lpstr>
      <vt:lpstr>Finance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Noor Awla</cp:lastModifiedBy>
  <cp:revision/>
  <dcterms:created xsi:type="dcterms:W3CDTF">2025-11-06T13:44:04Z</dcterms:created>
  <dcterms:modified xsi:type="dcterms:W3CDTF">2025-11-12T09:34:31Z</dcterms:modified>
  <cp:category/>
  <cp:contentStatus/>
</cp:coreProperties>
</file>